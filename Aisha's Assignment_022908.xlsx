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MTN NET\"/>
    </mc:Choice>
  </mc:AlternateContent>
  <xr:revisionPtr revIDLastSave="0" documentId="8_{9DF0AC8C-446D-4ECE-8F28-E005E1FF360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 Page" sheetId="5" r:id="rId1"/>
    <sheet name="Dashboard" sheetId="1" r:id="rId2"/>
    <sheet name="Inputs" sheetId="3" r:id="rId3"/>
    <sheet name="Contacts" sheetId="4" r:id="rId4"/>
  </sheets>
  <definedNames>
    <definedName name="_xlchart.v5.0" hidden="1">Inputs!$G$13</definedName>
    <definedName name="_xlchart.v5.1" hidden="1">Inputs!$G$14:$G$19</definedName>
    <definedName name="_xlchart.v5.2" hidden="1">Inputs!$H$12:$H$13</definedName>
    <definedName name="_xlchart.v5.3" hidden="1">Inputs!$H$13</definedName>
    <definedName name="_xlchart.v5.4" hidden="1">Inputs!$H$14:$H$19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3" l="1"/>
  <c r="J8" i="3"/>
  <c r="D8" i="3"/>
  <c r="J7" i="3"/>
  <c r="G7" i="3"/>
  <c r="D7" i="3"/>
</calcChain>
</file>

<file path=xl/sharedStrings.xml><?xml version="1.0" encoding="utf-8"?>
<sst xmlns="http://schemas.openxmlformats.org/spreadsheetml/2006/main" count="82" uniqueCount="62">
  <si>
    <t>Dashboard Start File</t>
  </si>
  <si>
    <r>
      <rPr>
        <sz val="16"/>
        <color theme="1"/>
        <rFont val="Calibri"/>
        <charset val="134"/>
        <scheme val="minor"/>
      </rPr>
      <t>Get 10%</t>
    </r>
    <r>
      <rPr>
        <b/>
        <sz val="16"/>
        <color theme="1"/>
        <rFont val="Calibri"/>
        <charset val="134"/>
        <scheme val="minor"/>
      </rPr>
      <t xml:space="preserve"> OFF</t>
    </r>
    <r>
      <rPr>
        <sz val="16"/>
        <color theme="1"/>
        <rFont val="Calibri"/>
        <charset val="134"/>
        <scheme val="minor"/>
      </rPr>
      <t xml:space="preserve"> our course using coupon code </t>
    </r>
    <r>
      <rPr>
        <b/>
        <sz val="16"/>
        <color theme="1"/>
        <rFont val="Calibri"/>
        <charset val="134"/>
        <scheme val="minor"/>
      </rPr>
      <t>EMAIL10</t>
    </r>
  </si>
  <si>
    <t>Explore Our Online Courses</t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</si>
  <si>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</si>
  <si>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</si>
  <si>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</si>
  <si>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</si>
  <si>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KPIs</t>
  </si>
  <si>
    <t>Sales (M)</t>
  </si>
  <si>
    <t>Amount</t>
  </si>
  <si>
    <t>Profit</t>
  </si>
  <si>
    <t>Customers</t>
  </si>
  <si>
    <t>Actual</t>
  </si>
  <si>
    <t>Target</t>
  </si>
  <si>
    <t>% Complete</t>
  </si>
  <si>
    <t>Remainder</t>
  </si>
  <si>
    <t>Sales</t>
  </si>
  <si>
    <t>Customer Satisfaction</t>
  </si>
  <si>
    <t>Figures in $M</t>
  </si>
  <si>
    <t>Sales by country 2022</t>
  </si>
  <si>
    <t>Score</t>
  </si>
  <si>
    <t>Jan</t>
  </si>
  <si>
    <t>Argentina</t>
  </si>
  <si>
    <t>Speed (54%)</t>
  </si>
  <si>
    <t>Feb</t>
  </si>
  <si>
    <t>Colombia</t>
  </si>
  <si>
    <t>Quality (86%)</t>
  </si>
  <si>
    <t>Mar</t>
  </si>
  <si>
    <t>Brazil</t>
  </si>
  <si>
    <t>Hygene (93%)</t>
  </si>
  <si>
    <t>Apr</t>
  </si>
  <si>
    <t>Ecuador</t>
  </si>
  <si>
    <t>Service (53%)</t>
  </si>
  <si>
    <t>May</t>
  </si>
  <si>
    <t>Peru</t>
  </si>
  <si>
    <t>Availability (95%)</t>
  </si>
  <si>
    <t>Jun</t>
  </si>
  <si>
    <t>Chile</t>
  </si>
  <si>
    <t>Jul</t>
  </si>
  <si>
    <t>Bolivia</t>
  </si>
  <si>
    <t>Aug</t>
  </si>
  <si>
    <t>Sep</t>
  </si>
  <si>
    <t>Oct</t>
  </si>
  <si>
    <t>Nov</t>
  </si>
  <si>
    <t>Dec</t>
  </si>
  <si>
    <t>Country</t>
  </si>
  <si>
    <t>General Manager</t>
  </si>
  <si>
    <t>Email</t>
  </si>
  <si>
    <t>Facundo Gonzalez</t>
  </si>
  <si>
    <t>f.gonzalez@mcdonalds.com</t>
  </si>
  <si>
    <t>Radamel Lopez</t>
  </si>
  <si>
    <t>r.lopez@mcdonalds.com</t>
  </si>
  <si>
    <t>Joao Silva</t>
  </si>
  <si>
    <t>j.silva@mcdonalds.com</t>
  </si>
  <si>
    <t>Jaime Lomo</t>
  </si>
  <si>
    <t>j.lomo@mcdonalds.com</t>
  </si>
  <si>
    <t>Samuel Armando</t>
  </si>
  <si>
    <t>s.armando@mcdonalds.com</t>
  </si>
  <si>
    <t>Alvaro Sanchez</t>
  </si>
  <si>
    <t>a.sanchez@mcdonalds.com</t>
  </si>
  <si>
    <t>Angel Garcia</t>
  </si>
  <si>
    <t>a.garcia@mcdonalds.com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</si>
</sst>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[$$-409]* #,##0_ ;_-[$$-409]* \-#,##0\ ;_-[$$-409]* &quot;-&quot;??_ ;_-@_ "/>
    <numFmt numFmtId="165" formatCode="_-* #,##0.0_-;\-* #,##0.0_-;_-* &quot;-&quot;??_-;_-@_-"/>
  </numFmts>
  <fonts count="14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42"/>
      <color theme="1"/>
      <name val="Calibri"/>
      <charset val="134"/>
      <scheme val="minor"/>
    </font>
    <font>
      <b/>
      <sz val="5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20"/>
      <color rgb="FF800080"/>
      <name val="Calibri"/>
      <charset val="134"/>
      <scheme val="minor"/>
    </font>
    <font>
      <i/>
      <sz val="14"/>
      <color rgb="FF0432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4" fillId="0" borderId="0"/>
  </cellStyleXfs>
  <cellXfs count="37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0" borderId="0" xfId="4"/>
    <xf numFmtId="0" fontId="1" fillId="0" borderId="1" xfId="0" applyFont="1" applyBorder="1"/>
    <xf numFmtId="164" fontId="0" fillId="0" borderId="0" xfId="1" applyNumberFormat="1" applyFont="1" applyAlignment="1">
      <alignment horizontal="center"/>
    </xf>
    <xf numFmtId="164" fontId="0" fillId="0" borderId="0" xfId="2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9" fontId="0" fillId="0" borderId="0" xfId="3" applyFont="1"/>
    <xf numFmtId="0" fontId="2" fillId="2" borderId="0" xfId="0" applyFont="1" applyFill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3" borderId="0" xfId="0" applyFill="1"/>
    <xf numFmtId="0" fontId="0" fillId="4" borderId="0" xfId="6" applyFont="1" applyFill="1"/>
    <xf numFmtId="0" fontId="4" fillId="4" borderId="0" xfId="6" applyFill="1" applyAlignment="1">
      <alignment vertical="center"/>
    </xf>
    <xf numFmtId="0" fontId="4" fillId="4" borderId="0" xfId="6" applyFill="1"/>
    <xf numFmtId="0" fontId="4" fillId="0" borderId="2" xfId="6" applyBorder="1"/>
    <xf numFmtId="0" fontId="5" fillId="0" borderId="3" xfId="6" applyFont="1" applyBorder="1" applyAlignment="1">
      <alignment horizontal="center" vertical="center"/>
    </xf>
    <xf numFmtId="0" fontId="4" fillId="0" borderId="4" xfId="6" applyBorder="1"/>
    <xf numFmtId="0" fontId="4" fillId="0" borderId="5" xfId="6" applyBorder="1"/>
    <xf numFmtId="0" fontId="6" fillId="0" borderId="0" xfId="6" applyFont="1" applyAlignment="1">
      <alignment horizontal="center" vertical="center"/>
    </xf>
    <xf numFmtId="0" fontId="4" fillId="0" borderId="6" xfId="6" applyBorder="1"/>
    <xf numFmtId="0" fontId="4" fillId="0" borderId="0" xfId="6"/>
    <xf numFmtId="0" fontId="0" fillId="0" borderId="5" xfId="6" applyFont="1" applyBorder="1"/>
    <xf numFmtId="0" fontId="7" fillId="0" borderId="0" xfId="6" applyFont="1" applyAlignment="1">
      <alignment horizontal="center"/>
    </xf>
    <xf numFmtId="0" fontId="0" fillId="0" borderId="6" xfId="6" applyFont="1" applyBorder="1"/>
    <xf numFmtId="0" fontId="7" fillId="0" borderId="0" xfId="6" applyFont="1"/>
    <xf numFmtId="0" fontId="4" fillId="0" borderId="5" xfId="6" applyBorder="1" applyAlignment="1">
      <alignment vertical="center"/>
    </xf>
    <xf numFmtId="0" fontId="8" fillId="5" borderId="7" xfId="4" applyFont="1" applyFill="1" applyBorder="1" applyAlignment="1">
      <alignment horizontal="center" vertical="center"/>
    </xf>
    <xf numFmtId="0" fontId="4" fillId="0" borderId="6" xfId="6" applyBorder="1" applyAlignment="1">
      <alignment vertical="center"/>
    </xf>
    <xf numFmtId="0" fontId="9" fillId="0" borderId="0" xfId="5" applyFont="1" applyFill="1" applyBorder="1"/>
    <xf numFmtId="0" fontId="10" fillId="0" borderId="8" xfId="6" applyFont="1" applyBorder="1"/>
    <xf numFmtId="0" fontId="4" fillId="0" borderId="0" xfId="6" applyAlignment="1">
      <alignment vertical="top" wrapText="1"/>
    </xf>
    <xf numFmtId="0" fontId="4" fillId="0" borderId="9" xfId="6" applyBorder="1"/>
    <xf numFmtId="0" fontId="4" fillId="0" borderId="8" xfId="6" applyBorder="1"/>
    <xf numFmtId="0" fontId="4" fillId="0" borderId="10" xfId="6" applyBorder="1"/>
  </cellXfs>
  <cellStyles count="7">
    <cellStyle name="Comma" xfId="1" builtinId="3"/>
    <cellStyle name="Currency" xfId="2" builtinId="4"/>
    <cellStyle name="Hyperlink" xfId="4" builtinId="8"/>
    <cellStyle name="Hyperlink 2 2" xfId="5" xr:uid="{00000000-0005-0000-0000-000031000000}"/>
    <cellStyle name="Normal" xfId="0" builtinId="0"/>
    <cellStyle name="Normal 2" xfId="6" xr:uid="{00000000-0005-0000-0000-000032000000}"/>
    <cellStyle name="Percent" xfId="3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073673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76-43DD-B418-E7829771AE09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76-43DD-B418-E7829771A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011951568"/>
        <c:axId val="858456272"/>
      </c:lineChart>
      <c:catAx>
        <c:axId val="101195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456272"/>
        <c:crosses val="autoZero"/>
        <c:auto val="1"/>
        <c:lblAlgn val="ctr"/>
        <c:lblOffset val="100"/>
        <c:noMultiLvlLbl val="0"/>
      </c:catAx>
      <c:valAx>
        <c:axId val="858456272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95156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073673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B-4695-902B-0706DCABA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749920"/>
        <c:axId val="858540752"/>
      </c:radarChart>
      <c:catAx>
        <c:axId val="94474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540752"/>
        <c:crosses val="autoZero"/>
        <c:auto val="1"/>
        <c:lblAlgn val="ctr"/>
        <c:lblOffset val="100"/>
        <c:noMultiLvlLbl val="0"/>
      </c:catAx>
      <c:valAx>
        <c:axId val="8585407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4474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A2-43F4-9DDD-1FDA83C029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A2-43F4-9DDD-1FDA83C029BE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0.84796666666666698</c:v>
                </c:pt>
                <c:pt idx="1">
                  <c:v>0.15203333333333299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A2-43F4-9DDD-1FDA83C02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2B-49CB-BA15-7CD09961607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2B-49CB-BA15-7CD099616070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0.84796666666666698</c:v>
                </c:pt>
                <c:pt idx="1">
                  <c:v>0.15203333333333299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2B-49CB-BA15-7CD09961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4E-4320-9E02-1F649F43480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4E-4320-9E02-1F649F43480F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0.84796666666666698</c:v>
                </c:pt>
                <c:pt idx="1">
                  <c:v>0.15203333333333299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4E-4320-9E02-1F649F434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46-4BE6-BF0E-C9DA37A231C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46-4BE6-BF0E-C9DA37A231C5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0.84796666666666698</c:v>
                </c:pt>
                <c:pt idx="1">
                  <c:v>0.15203333333333299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46-4BE6-BF0E-C9DA37A23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title pos="t" align="ctr" overlay="0"/>
    <cx:plotArea>
      <cx:plotAreaRegion>
        <cx:series layoutId="regionMap" uniqueId="{00000000-C7A6-4E49-A055-D141D0FB0098}">
          <cx:tx>
            <cx:txData>
              <cx:f>_xlchart.v5.2</cx:f>
              <cx:v>Figures in $M Argentina</cx:v>
            </cx:txData>
          </cx:tx>
          <cx:dataId val="0"/>
          <cx:layoutPr>
            <cx:geography cultureLanguage="en-US" cultureRegion="GB" attribution="Powered by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</cx:plotAreaRegion>
    </cx:plotArea>
    <cx:legend pos="r" align="min" overlay="0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18" Type="http://schemas.openxmlformats.org/officeDocument/2006/relationships/chart" Target="../charts/chart3.xml"/><Relationship Id="rId3" Type="http://schemas.openxmlformats.org/officeDocument/2006/relationships/image" Target="../media/image3.svg"/><Relationship Id="rId21" Type="http://schemas.openxmlformats.org/officeDocument/2006/relationships/chart" Target="../charts/chart6.xml"/><Relationship Id="rId7" Type="http://schemas.openxmlformats.org/officeDocument/2006/relationships/hyperlink" Target="#Contacts!A1"/><Relationship Id="rId12" Type="http://schemas.openxmlformats.org/officeDocument/2006/relationships/hyperlink" Target="mailto:infonotsupport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2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5" Type="http://schemas.microsoft.com/office/2014/relationships/chartEx" Target="../charts/chartEx1.xml"/><Relationship Id="rId10" Type="http://schemas.openxmlformats.org/officeDocument/2006/relationships/image" Target="../media/image8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infonotsupport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infonotsupport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78053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290" y="1447800"/>
          <a:ext cx="3050540" cy="87757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>
    <xdr:from>
      <xdr:col>1</xdr:col>
      <xdr:colOff>142875</xdr:colOff>
      <xdr:row>0</xdr:row>
      <xdr:rowOff>114299</xdr:rowOff>
    </xdr:from>
    <xdr:to>
      <xdr:col>12</xdr:col>
      <xdr:colOff>771525</xdr:colOff>
      <xdr:row>4</xdr:row>
      <xdr:rowOff>47624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EA953D6-3B0C-2AF9-52A2-0967DEEA64FA}"/>
            </a:ext>
          </a:extLst>
        </xdr:cNvPr>
        <xdr:cNvSpPr/>
      </xdr:nvSpPr>
      <xdr:spPr>
        <a:xfrm>
          <a:off x="971550" y="114299"/>
          <a:ext cx="9744075" cy="733425"/>
        </a:xfrm>
        <a:prstGeom prst="roundRect">
          <a:avLst>
            <a:gd name="adj" fmla="val 887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400" b="1">
              <a:solidFill>
                <a:srgbClr val="073673"/>
              </a:solidFill>
            </a:rPr>
            <a:t>Sales Dashboard South</a:t>
          </a:r>
          <a:r>
            <a:rPr lang="en-GB" sz="2400" b="1" baseline="0">
              <a:solidFill>
                <a:srgbClr val="073673"/>
              </a:solidFill>
            </a:rPr>
            <a:t> america 2022</a:t>
          </a:r>
        </a:p>
        <a:p>
          <a:pPr algn="l"/>
          <a:r>
            <a:rPr lang="en-GB" sz="1400" b="1" i="1" baseline="0">
              <a:solidFill>
                <a:schemeClr val="tx1">
                  <a:lumMod val="50000"/>
                  <a:lumOff val="50000"/>
                </a:schemeClr>
              </a:solidFill>
            </a:rPr>
            <a:t>Figures in millions of USD</a:t>
          </a:r>
          <a:endParaRPr lang="en-GB" sz="1400" b="1" i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142875</xdr:colOff>
      <xdr:row>5</xdr:row>
      <xdr:rowOff>38099</xdr:rowOff>
    </xdr:from>
    <xdr:to>
      <xdr:col>4</xdr:col>
      <xdr:colOff>761999</xdr:colOff>
      <xdr:row>10</xdr:row>
      <xdr:rowOff>28575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6973877-9C7A-0FB8-6ACD-E65FADBF9B39}"/>
            </a:ext>
          </a:extLst>
        </xdr:cNvPr>
        <xdr:cNvSpPr/>
      </xdr:nvSpPr>
      <xdr:spPr>
        <a:xfrm>
          <a:off x="971550" y="1038224"/>
          <a:ext cx="3105149" cy="990601"/>
        </a:xfrm>
        <a:prstGeom prst="roundRect">
          <a:avLst>
            <a:gd name="adj" fmla="val 887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rgbClr val="073673"/>
              </a:solidFill>
            </a:rPr>
            <a:t>Sales </a:t>
          </a:r>
        </a:p>
      </xdr:txBody>
    </xdr:sp>
    <xdr:clientData/>
  </xdr:twoCellAnchor>
  <xdr:twoCellAnchor>
    <xdr:from>
      <xdr:col>5</xdr:col>
      <xdr:colOff>228600</xdr:colOff>
      <xdr:row>5</xdr:row>
      <xdr:rowOff>38099</xdr:rowOff>
    </xdr:from>
    <xdr:to>
      <xdr:col>9</xdr:col>
      <xdr:colOff>19049</xdr:colOff>
      <xdr:row>10</xdr:row>
      <xdr:rowOff>28575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2B70439-7010-9D6E-C9D5-8BC61F607764}"/>
            </a:ext>
          </a:extLst>
        </xdr:cNvPr>
        <xdr:cNvSpPr/>
      </xdr:nvSpPr>
      <xdr:spPr>
        <a:xfrm>
          <a:off x="4371975" y="1038224"/>
          <a:ext cx="3105149" cy="990601"/>
        </a:xfrm>
        <a:prstGeom prst="roundRect">
          <a:avLst>
            <a:gd name="adj" fmla="val 887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rgbClr val="073673"/>
              </a:solidFill>
            </a:rPr>
            <a:t>Profit</a:t>
          </a:r>
        </a:p>
      </xdr:txBody>
    </xdr:sp>
    <xdr:clientData/>
  </xdr:twoCellAnchor>
  <xdr:twoCellAnchor>
    <xdr:from>
      <xdr:col>9</xdr:col>
      <xdr:colOff>190500</xdr:colOff>
      <xdr:row>5</xdr:row>
      <xdr:rowOff>76199</xdr:rowOff>
    </xdr:from>
    <xdr:to>
      <xdr:col>12</xdr:col>
      <xdr:colOff>809624</xdr:colOff>
      <xdr:row>10</xdr:row>
      <xdr:rowOff>66675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CB81D1C-84F6-DD47-3E3B-1AA116AF8E6B}"/>
            </a:ext>
          </a:extLst>
        </xdr:cNvPr>
        <xdr:cNvSpPr/>
      </xdr:nvSpPr>
      <xdr:spPr>
        <a:xfrm>
          <a:off x="7648575" y="1076324"/>
          <a:ext cx="3105149" cy="990601"/>
        </a:xfrm>
        <a:prstGeom prst="roundRect">
          <a:avLst>
            <a:gd name="adj" fmla="val 887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rgbClr val="073673"/>
              </a:solidFill>
            </a:rPr>
            <a:t>£</a:t>
          </a:r>
          <a:r>
            <a:rPr lang="en-GB" sz="1600" b="1" baseline="0">
              <a:solidFill>
                <a:srgbClr val="073673"/>
              </a:solidFill>
            </a:rPr>
            <a:t> of Customers</a:t>
          </a:r>
        </a:p>
        <a:p>
          <a:pPr algn="l"/>
          <a:r>
            <a:rPr lang="en-GB" sz="1600" b="1" baseline="0">
              <a:solidFill>
                <a:srgbClr val="073673"/>
              </a:solidFill>
            </a:rPr>
            <a:t>    </a:t>
          </a:r>
          <a:r>
            <a:rPr lang="en-GB" sz="2000" b="1">
              <a:solidFill>
                <a:srgbClr val="073673"/>
              </a:solidFill>
            </a:rPr>
            <a:t>89.0</a:t>
          </a:r>
        </a:p>
      </xdr:txBody>
    </xdr:sp>
    <xdr:clientData/>
  </xdr:twoCellAnchor>
  <xdr:twoCellAnchor>
    <xdr:from>
      <xdr:col>1</xdr:col>
      <xdr:colOff>142876</xdr:colOff>
      <xdr:row>12</xdr:row>
      <xdr:rowOff>57149</xdr:rowOff>
    </xdr:from>
    <xdr:to>
      <xdr:col>8</xdr:col>
      <xdr:colOff>781051</xdr:colOff>
      <xdr:row>27</xdr:row>
      <xdr:rowOff>28575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918FF0E-A4D2-95D5-9015-7F793554B5A8}"/>
            </a:ext>
          </a:extLst>
        </xdr:cNvPr>
        <xdr:cNvSpPr/>
      </xdr:nvSpPr>
      <xdr:spPr>
        <a:xfrm>
          <a:off x="971551" y="2457449"/>
          <a:ext cx="6438900" cy="2971801"/>
        </a:xfrm>
        <a:prstGeom prst="roundRect">
          <a:avLst>
            <a:gd name="adj" fmla="val 887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rgbClr val="073673"/>
              </a:solidFill>
            </a:rPr>
            <a:t>2021-2022</a:t>
          </a:r>
          <a:r>
            <a:rPr lang="en-GB" sz="1600" b="1" baseline="0">
              <a:solidFill>
                <a:srgbClr val="073673"/>
              </a:solidFill>
            </a:rPr>
            <a:t> sales Trend (in million)</a:t>
          </a:r>
          <a:endParaRPr lang="en-GB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9</xdr:col>
      <xdr:colOff>247650</xdr:colOff>
      <xdr:row>11</xdr:row>
      <xdr:rowOff>161925</xdr:rowOff>
    </xdr:from>
    <xdr:to>
      <xdr:col>12</xdr:col>
      <xdr:colOff>638175</xdr:colOff>
      <xdr:row>27</xdr:row>
      <xdr:rowOff>66675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A1B2F47-8539-BD47-5CC2-E9FEA99D51B7}"/>
            </a:ext>
          </a:extLst>
        </xdr:cNvPr>
        <xdr:cNvSpPr/>
      </xdr:nvSpPr>
      <xdr:spPr>
        <a:xfrm>
          <a:off x="7705725" y="2362200"/>
          <a:ext cx="2876550" cy="3105150"/>
        </a:xfrm>
        <a:prstGeom prst="roundRect">
          <a:avLst>
            <a:gd name="adj" fmla="val 887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rgbClr val="073673"/>
              </a:solidFill>
            </a:rPr>
            <a:t>Customer</a:t>
          </a:r>
          <a:r>
            <a:rPr lang="en-GB" sz="1600" b="1" baseline="0">
              <a:solidFill>
                <a:srgbClr val="073673"/>
              </a:solidFill>
            </a:rPr>
            <a:t> Satisfaction</a:t>
          </a:r>
          <a:endParaRPr lang="en-GB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13</xdr:col>
      <xdr:colOff>200024</xdr:colOff>
      <xdr:row>0</xdr:row>
      <xdr:rowOff>9524</xdr:rowOff>
    </xdr:from>
    <xdr:to>
      <xdr:col>18</xdr:col>
      <xdr:colOff>361950</xdr:colOff>
      <xdr:row>27</xdr:row>
      <xdr:rowOff>152400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E39EDB8-B02A-920C-0E00-4452A973AC48}"/>
            </a:ext>
          </a:extLst>
        </xdr:cNvPr>
        <xdr:cNvSpPr/>
      </xdr:nvSpPr>
      <xdr:spPr>
        <a:xfrm>
          <a:off x="10972799" y="9524"/>
          <a:ext cx="4305301" cy="5543551"/>
        </a:xfrm>
        <a:prstGeom prst="roundRect">
          <a:avLst>
            <a:gd name="adj" fmla="val 887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rgbClr val="073673"/>
              </a:solidFill>
            </a:rPr>
            <a:t>Sales by</a:t>
          </a:r>
          <a:r>
            <a:rPr lang="en-GB" sz="1600" b="1" baseline="0">
              <a:solidFill>
                <a:srgbClr val="073673"/>
              </a:solidFill>
            </a:rPr>
            <a:t> Country 2022</a:t>
          </a:r>
          <a:endParaRPr lang="en-GB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13</xdr:col>
      <xdr:colOff>666750</xdr:colOff>
      <xdr:row>3</xdr:row>
      <xdr:rowOff>123824</xdr:rowOff>
    </xdr:from>
    <xdr:to>
      <xdr:col>18</xdr:col>
      <xdr:colOff>28575</xdr:colOff>
      <xdr:row>24</xdr:row>
      <xdr:rowOff>200024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EA693AFB-BB8E-4A6C-BA5D-58459B48F2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9525" y="723899"/>
              <a:ext cx="3505200" cy="4276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304800</xdr:colOff>
      <xdr:row>14</xdr:row>
      <xdr:rowOff>133350</xdr:rowOff>
    </xdr:from>
    <xdr:to>
      <xdr:col>8</xdr:col>
      <xdr:colOff>657225</xdr:colOff>
      <xdr:row>26</xdr:row>
      <xdr:rowOff>28575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8897A7E-3D82-4B4D-9689-40BA7529A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381000</xdr:colOff>
      <xdr:row>14</xdr:row>
      <xdr:rowOff>123825</xdr:rowOff>
    </xdr:from>
    <xdr:to>
      <xdr:col>12</xdr:col>
      <xdr:colOff>476250</xdr:colOff>
      <xdr:row>26</xdr:row>
      <xdr:rowOff>19050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A519EF6-EC4F-4BFF-AE42-B09076B45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247650</xdr:colOff>
      <xdr:row>6</xdr:row>
      <xdr:rowOff>190500</xdr:rowOff>
    </xdr:from>
    <xdr:to>
      <xdr:col>3</xdr:col>
      <xdr:colOff>552450</xdr:colOff>
      <xdr:row>9</xdr:row>
      <xdr:rowOff>38100</xdr:rowOff>
    </xdr:to>
    <xdr:sp macro="" textlink="Inputs!D5">
      <xdr:nvSpPr>
        <xdr:cNvPr id="18" name="TextBox 17">
          <a:extLst>
            <a:ext uri="{FF2B5EF4-FFF2-40B4-BE49-F238E27FC236}">
              <a16:creationId xmlns:a16="http://schemas.microsoft.com/office/drawing/2014/main" id="{AE4FFE80-A741-CD15-3AD0-7AB5E4AE30B4}"/>
            </a:ext>
          </a:extLst>
        </xdr:cNvPr>
        <xdr:cNvSpPr txBox="1"/>
      </xdr:nvSpPr>
      <xdr:spPr>
        <a:xfrm>
          <a:off x="1076325" y="1390650"/>
          <a:ext cx="1962150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BC89B53-108E-4E7A-B8D3-C28BADA34F01}" type="TxLink">
            <a:rPr lang="en-US" sz="18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t> $2,544 </a:t>
          </a:fld>
          <a:endParaRPr lang="en-GB" sz="36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219075</xdr:colOff>
      <xdr:row>5</xdr:row>
      <xdr:rowOff>38099</xdr:rowOff>
    </xdr:from>
    <xdr:to>
      <xdr:col>9</xdr:col>
      <xdr:colOff>9524</xdr:colOff>
      <xdr:row>10</xdr:row>
      <xdr:rowOff>28575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3049FF68-C862-3100-171D-0FB11A37C6A6}"/>
            </a:ext>
          </a:extLst>
        </xdr:cNvPr>
        <xdr:cNvSpPr/>
      </xdr:nvSpPr>
      <xdr:spPr>
        <a:xfrm>
          <a:off x="4362450" y="1038224"/>
          <a:ext cx="3105149" cy="990601"/>
        </a:xfrm>
        <a:prstGeom prst="roundRect">
          <a:avLst>
            <a:gd name="adj" fmla="val 887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rgbClr val="073673"/>
              </a:solidFill>
            </a:rPr>
            <a:t>Profit</a:t>
          </a:r>
        </a:p>
      </xdr:txBody>
    </xdr:sp>
    <xdr:clientData/>
  </xdr:twoCellAnchor>
  <xdr:twoCellAnchor>
    <xdr:from>
      <xdr:col>5</xdr:col>
      <xdr:colOff>409575</xdr:colOff>
      <xdr:row>7</xdr:row>
      <xdr:rowOff>47625</xdr:rowOff>
    </xdr:from>
    <xdr:to>
      <xdr:col>7</xdr:col>
      <xdr:colOff>714375</xdr:colOff>
      <xdr:row>9</xdr:row>
      <xdr:rowOff>95250</xdr:rowOff>
    </xdr:to>
    <xdr:sp macro="" textlink="Inputs!G5">
      <xdr:nvSpPr>
        <xdr:cNvPr id="20" name="TextBox 19">
          <a:extLst>
            <a:ext uri="{FF2B5EF4-FFF2-40B4-BE49-F238E27FC236}">
              <a16:creationId xmlns:a16="http://schemas.microsoft.com/office/drawing/2014/main" id="{5A96A20F-F516-CA50-7C36-DBA9B5BC1058}"/>
            </a:ext>
          </a:extLst>
        </xdr:cNvPr>
        <xdr:cNvSpPr txBox="1"/>
      </xdr:nvSpPr>
      <xdr:spPr>
        <a:xfrm>
          <a:off x="4552950" y="1447800"/>
          <a:ext cx="1962150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AEFC1AB-246C-45A3-A160-1E78B9F126E8}" type="TxLink">
            <a:rPr lang="en-US" sz="24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/>
            <a:t> $890 </a:t>
          </a:fld>
          <a:endParaRPr lang="en-GB" sz="24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571500</xdr:colOff>
      <xdr:row>52</xdr:row>
      <xdr:rowOff>9526</xdr:rowOff>
    </xdr:from>
    <xdr:to>
      <xdr:col>13</xdr:col>
      <xdr:colOff>47625</xdr:colOff>
      <xdr:row>60</xdr:row>
      <xdr:rowOff>9526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32FD8785-B059-A3CC-0708-7542D9DB4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123825</xdr:colOff>
      <xdr:row>5</xdr:row>
      <xdr:rowOff>9526</xdr:rowOff>
    </xdr:from>
    <xdr:to>
      <xdr:col>5</xdr:col>
      <xdr:colOff>419100</xdr:colOff>
      <xdr:row>9</xdr:row>
      <xdr:rowOff>180976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14A01A03-48D4-432A-AD7D-4ACF90431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152399</xdr:colOff>
      <xdr:row>5</xdr:row>
      <xdr:rowOff>28575</xdr:rowOff>
    </xdr:from>
    <xdr:to>
      <xdr:col>9</xdr:col>
      <xdr:colOff>457199</xdr:colOff>
      <xdr:row>9</xdr:row>
      <xdr:rowOff>190500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9B95D8A9-D883-47B2-9249-6FDD89860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</xdr:col>
      <xdr:colOff>276224</xdr:colOff>
      <xdr:row>5</xdr:row>
      <xdr:rowOff>95250</xdr:rowOff>
    </xdr:from>
    <xdr:to>
      <xdr:col>13</xdr:col>
      <xdr:colOff>581024</xdr:colOff>
      <xdr:row>10</xdr:row>
      <xdr:rowOff>104775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3E86CE6B-86DC-4EB4-894E-092938BA1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0.35521</cdr:x>
      <cdr:y>0.3125</cdr:y>
    </cdr:from>
    <cdr:to>
      <cdr:x>0.64479</cdr:x>
      <cdr:y>0.58333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6F9E497-874E-C117-1FA4-5F3E4663C5BA}"/>
            </a:ext>
          </a:extLst>
        </cdr:cNvPr>
        <cdr:cNvSpPr txBox="1"/>
      </cdr:nvSpPr>
      <cdr:spPr>
        <a:xfrm xmlns:a="http://schemas.openxmlformats.org/drawingml/2006/main">
          <a:off x="1148656" y="669727"/>
          <a:ext cx="936426" cy="5804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C3A6FC3E-6E41-4D45-8BF2-7931D30D3E3D}" type="TxLink">
            <a:rPr lang="en-US" sz="1600" b="1" i="0" u="none" strike="noStrike" kern="1200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GB" sz="2400" b="1" kern="1200">
            <a:solidFill>
              <a:srgbClr val="073673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0.35521</cdr:x>
      <cdr:y>0.3125</cdr:y>
    </cdr:from>
    <cdr:to>
      <cdr:x>0.64479</cdr:x>
      <cdr:y>0.58333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6F9E497-874E-C117-1FA4-5F3E4663C5BA}"/>
            </a:ext>
          </a:extLst>
        </cdr:cNvPr>
        <cdr:cNvSpPr txBox="1"/>
      </cdr:nvSpPr>
      <cdr:spPr>
        <a:xfrm xmlns:a="http://schemas.openxmlformats.org/drawingml/2006/main">
          <a:off x="1624013" y="857250"/>
          <a:ext cx="1323975" cy="742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BFCA6098-BD8C-45C4-AA14-9B515B530DBD}" type="TxLink">
            <a:rPr lang="en-US" sz="1600" b="1" i="0" u="none" strike="noStrike" kern="1200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GB" sz="1400" b="1" kern="1200">
            <a:solidFill>
              <a:srgbClr val="073673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0.36886</cdr:x>
      <cdr:y>0.3422</cdr:y>
    </cdr:from>
    <cdr:to>
      <cdr:x>0.65844</cdr:x>
      <cdr:y>0.67327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6F9E497-874E-C117-1FA4-5F3E4663C5BA}"/>
            </a:ext>
          </a:extLst>
        </cdr:cNvPr>
        <cdr:cNvSpPr txBox="1"/>
      </cdr:nvSpPr>
      <cdr:spPr>
        <a:xfrm xmlns:a="http://schemas.openxmlformats.org/drawingml/2006/main">
          <a:off x="1029429" y="329208"/>
          <a:ext cx="808167" cy="3184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C52843BE-9622-4209-9749-2C1711A5399A}" type="TxLink">
            <a:rPr lang="en-US" sz="1600" b="1" i="0" u="none" strike="noStrike" kern="1200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GB" sz="1800" b="1" kern="1200">
            <a:solidFill>
              <a:srgbClr val="073673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0.36886</cdr:x>
      <cdr:y>0.35024</cdr:y>
    </cdr:from>
    <cdr:to>
      <cdr:x>0.65844</cdr:x>
      <cdr:y>0.62107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6F9E497-874E-C117-1FA4-5F3E4663C5BA}"/>
            </a:ext>
          </a:extLst>
        </cdr:cNvPr>
        <cdr:cNvSpPr txBox="1"/>
      </cdr:nvSpPr>
      <cdr:spPr>
        <a:xfrm xmlns:a="http://schemas.openxmlformats.org/drawingml/2006/main">
          <a:off x="1029429" y="353616"/>
          <a:ext cx="808167" cy="2734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C3A6FC3E-6E41-4D45-8BF2-7931D30D3E3D}" type="TxLink">
            <a:rPr lang="en-US" sz="1600" b="1" i="0" u="none" strike="noStrike" kern="1200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GB" sz="2400" b="1" kern="1200">
            <a:solidFill>
              <a:srgbClr val="073673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2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3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4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5" name="Graphic 1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7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8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9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10" name="Graphic 1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11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12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13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14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17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18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19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20" name="Graphic 14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21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22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23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24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25" name="Graphic 1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2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27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28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29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30" name="Graphic 14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31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32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33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34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35" name="Graphic 1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3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37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38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39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40" name="Graphic 14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41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42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43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44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45" name="Graphic 1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4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47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48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49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50" name="Graphic 14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51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52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53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54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55" name="Graphic 1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5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57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58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59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60" name="Graphic 14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61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2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3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4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5" name="Graphic 1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7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8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9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10" name="Graphic 14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11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12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13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14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17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18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19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20" name="Graphic 14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21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22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23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24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25" name="Graphic 1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2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647064</xdr:colOff>
      <xdr:row>10</xdr:row>
      <xdr:rowOff>171600</xdr:rowOff>
    </xdr:to>
    <xdr:pic>
      <xdr:nvPicPr>
        <xdr:cNvPr id="27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710055"/>
          <a:ext cx="46418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654834</xdr:colOff>
      <xdr:row>7</xdr:row>
      <xdr:rowOff>138495</xdr:rowOff>
    </xdr:to>
    <xdr:pic>
      <xdr:nvPicPr>
        <xdr:cNvPr id="28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75690"/>
          <a:ext cx="469265" cy="46291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633667</xdr:colOff>
      <xdr:row>14</xdr:row>
      <xdr:rowOff>24764</xdr:rowOff>
    </xdr:to>
    <xdr:pic>
      <xdr:nvPicPr>
        <xdr:cNvPr id="29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63470"/>
          <a:ext cx="469265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743677</xdr:colOff>
      <xdr:row>4</xdr:row>
      <xdr:rowOff>39551</xdr:rowOff>
    </xdr:to>
    <xdr:pic>
      <xdr:nvPicPr>
        <xdr:cNvPr id="30" name="Graphic 14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8915"/>
          <a:ext cx="643890" cy="63055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581660</xdr:colOff>
      <xdr:row>17</xdr:row>
      <xdr:rowOff>10160</xdr:rowOff>
    </xdr:to>
    <xdr:pic>
      <xdr:nvPicPr>
        <xdr:cNvPr id="31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3030855"/>
          <a:ext cx="375920" cy="379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?utm_source=YTDownloadFile&amp;utm_medium=excel-quick-dashboard-feb-03-2023&amp;utm_campaign=YTDownloa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8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D19"/>
  <sheetViews>
    <sheetView showGridLines="0" zoomScale="70" zoomScaleNormal="70" workbookViewId="0">
      <selection activeCell="C11" sqref="C11"/>
    </sheetView>
  </sheetViews>
  <sheetFormatPr defaultColWidth="9.5" defaultRowHeight="15"/>
  <cols>
    <col min="1" max="1" width="9.5" style="16"/>
    <col min="2" max="2" width="7.375" style="16" customWidth="1"/>
    <col min="3" max="3" width="96.75" style="16" customWidth="1"/>
    <col min="4" max="4" width="8.25" style="16" customWidth="1"/>
    <col min="5" max="16384" width="9.5" style="16"/>
  </cols>
  <sheetData>
    <row r="4" spans="2:4" ht="54">
      <c r="B4" s="17"/>
      <c r="C4" s="18" t="s">
        <v>0</v>
      </c>
      <c r="D4" s="19"/>
    </row>
    <row r="5" spans="2:4" ht="64.5">
      <c r="B5" s="20"/>
      <c r="C5" s="21"/>
      <c r="D5" s="22"/>
    </row>
    <row r="6" spans="2:4">
      <c r="B6" s="20"/>
      <c r="C6" s="23"/>
      <c r="D6" s="22"/>
    </row>
    <row r="7" spans="2:4">
      <c r="B7" s="20"/>
      <c r="C7" s="23"/>
      <c r="D7" s="22"/>
    </row>
    <row r="8" spans="2:4">
      <c r="B8" s="20"/>
      <c r="C8" s="23"/>
      <c r="D8" s="22"/>
    </row>
    <row r="9" spans="2:4" s="14" customFormat="1" ht="21">
      <c r="B9" s="24"/>
      <c r="C9" s="25" t="s">
        <v>1</v>
      </c>
      <c r="D9" s="26"/>
    </row>
    <row r="10" spans="2:4" s="14" customFormat="1" ht="21">
      <c r="B10" s="24"/>
      <c r="C10" s="27"/>
      <c r="D10" s="26"/>
    </row>
    <row r="11" spans="2:4" s="15" customFormat="1" ht="23.45" customHeight="1">
      <c r="B11" s="28"/>
      <c r="C11" s="29" t="s">
        <v>2</v>
      </c>
      <c r="D11" s="30"/>
    </row>
    <row r="12" spans="2:4">
      <c r="B12" s="20"/>
      <c r="C12" s="23"/>
      <c r="D12" s="22"/>
    </row>
    <row r="13" spans="2:4">
      <c r="B13" s="20"/>
      <c r="C13" s="23"/>
      <c r="D13" s="22"/>
    </row>
    <row r="14" spans="2:4">
      <c r="B14" s="20"/>
      <c r="C14" s="23"/>
      <c r="D14" s="22"/>
    </row>
    <row r="15" spans="2:4" ht="18.75">
      <c r="B15" s="20"/>
      <c r="C15" s="31" t="s">
        <v>3</v>
      </c>
      <c r="D15" s="22"/>
    </row>
    <row r="16" spans="2:4">
      <c r="B16" s="20"/>
      <c r="C16" s="32" t="s">
        <v>4</v>
      </c>
      <c r="D16" s="22"/>
    </row>
    <row r="17" spans="2:4">
      <c r="B17" s="20"/>
      <c r="C17" s="23" t="s">
        <v>5</v>
      </c>
      <c r="D17" s="22"/>
    </row>
    <row r="18" spans="2:4" ht="30">
      <c r="B18" s="20"/>
      <c r="C18" s="33" t="s">
        <v>6</v>
      </c>
      <c r="D18" s="22"/>
    </row>
    <row r="19" spans="2:4">
      <c r="B19" s="34"/>
      <c r="C19" s="35"/>
      <c r="D19" s="36"/>
    </row>
  </sheetData>
  <sheetProtection algorithmName="SHA-512" hashValue="Txj7ApRZIr10m+Yi7nx51zVkoQ2mXiBMZed447p0YO+5GGAbFNKHj7sgsfcMfmsLRhX4i/w7gz1/FyMoSzpRew==" saltValue="C0sTpBsgE1pCj59JOSCkzA==" spinCount="100000" sheet="1" objects="1" scenarios="1"/>
  <hyperlinks>
    <hyperlink ref="C11" r:id="rId1" xr:uid="{00000000-0004-0000-0000-000000000000}"/>
    <hyperlink ref="C15" r:id="rId2" xr:uid="{00000000-0004-0000-0000-000001000000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abSelected="1" workbookViewId="0">
      <selection activeCell="O30" sqref="O30"/>
    </sheetView>
  </sheetViews>
  <sheetFormatPr defaultColWidth="10.875" defaultRowHeight="15.75"/>
  <cols>
    <col min="1" max="1" width="10.875" style="2"/>
    <col min="2" max="16384" width="10.875" style="13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4"/>
  <sheetViews>
    <sheetView showGridLines="0" workbookViewId="0"/>
  </sheetViews>
  <sheetFormatPr defaultColWidth="11.125" defaultRowHeight="15.75"/>
  <cols>
    <col min="1" max="1" width="10.875" style="2"/>
    <col min="2" max="2" width="4" customWidth="1"/>
    <col min="3" max="3" width="14.125" customWidth="1"/>
    <col min="4" max="4" width="8.625" customWidth="1"/>
    <col min="5" max="5" width="10.125" customWidth="1"/>
    <col min="7" max="7" width="12.375" customWidth="1"/>
  </cols>
  <sheetData>
    <row r="2" spans="3:11">
      <c r="C2" s="5" t="s">
        <v>7</v>
      </c>
      <c r="D2" s="5"/>
      <c r="E2" s="5"/>
      <c r="F2" s="5"/>
      <c r="G2" s="5"/>
      <c r="H2" s="5"/>
      <c r="I2" s="5"/>
      <c r="J2" s="5"/>
    </row>
    <row r="4" spans="3:11">
      <c r="C4" s="3" t="s">
        <v>8</v>
      </c>
      <c r="D4" s="3" t="s">
        <v>9</v>
      </c>
      <c r="F4" s="3" t="s">
        <v>10</v>
      </c>
      <c r="G4" s="3" t="s">
        <v>9</v>
      </c>
      <c r="I4" s="3" t="s">
        <v>11</v>
      </c>
      <c r="J4" s="3" t="s">
        <v>9</v>
      </c>
    </row>
    <row r="5" spans="3:11">
      <c r="C5" t="s">
        <v>12</v>
      </c>
      <c r="D5" s="6">
        <v>2543.9</v>
      </c>
      <c r="F5" t="s">
        <v>12</v>
      </c>
      <c r="G5" s="7">
        <v>890.36500000000001</v>
      </c>
      <c r="I5" t="s">
        <v>12</v>
      </c>
      <c r="J5" s="8">
        <v>87</v>
      </c>
    </row>
    <row r="6" spans="3:11">
      <c r="C6" t="s">
        <v>13</v>
      </c>
      <c r="D6" s="6">
        <v>3000</v>
      </c>
      <c r="F6" t="s">
        <v>13</v>
      </c>
      <c r="G6" s="7">
        <v>1000</v>
      </c>
      <c r="I6" t="s">
        <v>13</v>
      </c>
      <c r="J6" s="8">
        <v>100</v>
      </c>
    </row>
    <row r="7" spans="3:11">
      <c r="C7" t="s">
        <v>14</v>
      </c>
      <c r="D7" s="9">
        <f>D5/D6</f>
        <v>0.84796666666666698</v>
      </c>
      <c r="F7" t="s">
        <v>14</v>
      </c>
      <c r="G7" s="9">
        <f>G5/G6</f>
        <v>0.89036499999999996</v>
      </c>
      <c r="I7" t="s">
        <v>14</v>
      </c>
      <c r="J7" s="9">
        <f>J5/J6</f>
        <v>0.87</v>
      </c>
    </row>
    <row r="8" spans="3:11">
      <c r="C8" t="s">
        <v>15</v>
      </c>
      <c r="D8" s="9">
        <f>100%-D7</f>
        <v>0.15203333333333299</v>
      </c>
      <c r="F8" t="s">
        <v>15</v>
      </c>
      <c r="G8" s="9">
        <f>G6/G7</f>
        <v>1123.1348941164579</v>
      </c>
      <c r="I8" t="s">
        <v>15</v>
      </c>
      <c r="J8" s="9">
        <f>100%-J7</f>
        <v>0.13</v>
      </c>
    </row>
    <row r="10" spans="3:11">
      <c r="C10" s="5" t="s">
        <v>16</v>
      </c>
      <c r="D10" s="5"/>
      <c r="E10" s="5"/>
      <c r="F10" s="5"/>
      <c r="G10" s="5"/>
      <c r="H10" s="5"/>
      <c r="J10" s="5" t="s">
        <v>17</v>
      </c>
      <c r="K10" s="5"/>
    </row>
    <row r="12" spans="3:11">
      <c r="C12" s="10" t="s">
        <v>18</v>
      </c>
      <c r="D12" s="10">
        <v>2021</v>
      </c>
      <c r="E12" s="10">
        <v>2022</v>
      </c>
      <c r="G12" s="10" t="s">
        <v>19</v>
      </c>
      <c r="H12" s="10" t="s">
        <v>18</v>
      </c>
      <c r="J12" s="3" t="s">
        <v>17</v>
      </c>
      <c r="K12" s="3" t="s">
        <v>20</v>
      </c>
    </row>
    <row r="13" spans="3:11">
      <c r="C13" t="s">
        <v>21</v>
      </c>
      <c r="D13">
        <v>201.9</v>
      </c>
      <c r="E13">
        <v>215.3</v>
      </c>
      <c r="G13" t="s">
        <v>22</v>
      </c>
      <c r="H13" t="s">
        <v>22</v>
      </c>
      <c r="J13" t="s">
        <v>23</v>
      </c>
      <c r="K13" s="12">
        <v>0.54</v>
      </c>
    </row>
    <row r="14" spans="3:11">
      <c r="C14" t="s">
        <v>24</v>
      </c>
      <c r="D14">
        <v>204.2</v>
      </c>
      <c r="E14">
        <v>217.6</v>
      </c>
      <c r="G14" t="s">
        <v>25</v>
      </c>
      <c r="H14" s="11">
        <v>432.4</v>
      </c>
      <c r="J14" t="s">
        <v>26</v>
      </c>
      <c r="K14" s="12">
        <v>0.86</v>
      </c>
    </row>
    <row r="15" spans="3:11">
      <c r="C15" t="s">
        <v>27</v>
      </c>
      <c r="D15">
        <v>198.6</v>
      </c>
      <c r="E15">
        <v>220.1</v>
      </c>
      <c r="G15" t="s">
        <v>28</v>
      </c>
      <c r="H15" s="11">
        <v>553.20000000000005</v>
      </c>
      <c r="J15" t="s">
        <v>29</v>
      </c>
      <c r="K15" s="12">
        <v>0.93</v>
      </c>
    </row>
    <row r="16" spans="3:11">
      <c r="C16" t="s">
        <v>30</v>
      </c>
      <c r="D16">
        <v>199.2</v>
      </c>
      <c r="E16">
        <v>206.4</v>
      </c>
      <c r="G16" t="s">
        <v>31</v>
      </c>
      <c r="H16" s="11">
        <v>445.1</v>
      </c>
      <c r="J16" t="s">
        <v>32</v>
      </c>
      <c r="K16" s="12">
        <v>0.53</v>
      </c>
    </row>
    <row r="17" spans="3:11">
      <c r="C17" t="s">
        <v>33</v>
      </c>
      <c r="D17">
        <v>206.4</v>
      </c>
      <c r="E17">
        <v>204.3</v>
      </c>
      <c r="G17" t="s">
        <v>34</v>
      </c>
      <c r="H17" s="11">
        <v>425.1</v>
      </c>
      <c r="J17" t="s">
        <v>35</v>
      </c>
      <c r="K17" s="12">
        <v>0.95</v>
      </c>
    </row>
    <row r="18" spans="3:11">
      <c r="C18" t="s">
        <v>36</v>
      </c>
      <c r="D18">
        <v>195.3</v>
      </c>
      <c r="E18">
        <v>203</v>
      </c>
      <c r="G18" t="s">
        <v>37</v>
      </c>
      <c r="H18" s="11">
        <v>253.6</v>
      </c>
    </row>
    <row r="19" spans="3:11">
      <c r="C19" t="s">
        <v>38</v>
      </c>
      <c r="D19">
        <v>192.4</v>
      </c>
      <c r="E19">
        <v>201.5</v>
      </c>
      <c r="G19" t="s">
        <v>39</v>
      </c>
      <c r="H19" s="11">
        <v>387.5</v>
      </c>
    </row>
    <row r="20" spans="3:11">
      <c r="C20" t="s">
        <v>40</v>
      </c>
      <c r="D20">
        <v>186.3</v>
      </c>
      <c r="E20">
        <v>200.6</v>
      </c>
    </row>
    <row r="21" spans="3:11">
      <c r="C21" t="s">
        <v>41</v>
      </c>
      <c r="D21">
        <v>194.2</v>
      </c>
      <c r="E21">
        <v>210.6</v>
      </c>
    </row>
    <row r="22" spans="3:11">
      <c r="C22" t="s">
        <v>42</v>
      </c>
      <c r="D22">
        <v>199</v>
      </c>
      <c r="E22">
        <v>216.4</v>
      </c>
    </row>
    <row r="23" spans="3:11">
      <c r="C23" t="s">
        <v>43</v>
      </c>
      <c r="D23">
        <v>205.2</v>
      </c>
      <c r="E23">
        <v>222.3</v>
      </c>
    </row>
    <row r="24" spans="3:11">
      <c r="C24" t="s">
        <v>44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9"/>
  <sheetViews>
    <sheetView showGridLines="0" workbookViewId="0"/>
  </sheetViews>
  <sheetFormatPr defaultColWidth="9" defaultRowHeight="15.75"/>
  <cols>
    <col min="1" max="1" width="10.875" style="2"/>
    <col min="2" max="2" width="4.375" customWidth="1"/>
    <col min="4" max="4" width="16.625" customWidth="1"/>
    <col min="5" max="5" width="25" customWidth="1"/>
  </cols>
  <sheetData>
    <row r="2" spans="1:5" s="1" customFormat="1">
      <c r="A2" s="2"/>
      <c r="C2" s="3" t="s">
        <v>45</v>
      </c>
      <c r="D2" s="3" t="s">
        <v>46</v>
      </c>
      <c r="E2" s="3" t="s">
        <v>47</v>
      </c>
    </row>
    <row r="3" spans="1:5">
      <c r="C3" t="s">
        <v>22</v>
      </c>
      <c r="D3" t="s">
        <v>48</v>
      </c>
      <c r="E3" s="4" t="s">
        <v>49</v>
      </c>
    </row>
    <row r="4" spans="1:5">
      <c r="C4" t="s">
        <v>25</v>
      </c>
      <c r="D4" t="s">
        <v>50</v>
      </c>
      <c r="E4" s="4" t="s">
        <v>51</v>
      </c>
    </row>
    <row r="5" spans="1:5">
      <c r="C5" t="s">
        <v>28</v>
      </c>
      <c r="D5" t="s">
        <v>52</v>
      </c>
      <c r="E5" s="4" t="s">
        <v>53</v>
      </c>
    </row>
    <row r="6" spans="1:5">
      <c r="C6" t="s">
        <v>31</v>
      </c>
      <c r="D6" t="s">
        <v>54</v>
      </c>
      <c r="E6" s="4" t="s">
        <v>55</v>
      </c>
    </row>
    <row r="7" spans="1:5">
      <c r="C7" t="s">
        <v>34</v>
      </c>
      <c r="D7" t="s">
        <v>56</v>
      </c>
      <c r="E7" s="4" t="s">
        <v>57</v>
      </c>
    </row>
    <row r="8" spans="1:5">
      <c r="C8" t="s">
        <v>37</v>
      </c>
      <c r="D8" t="s">
        <v>58</v>
      </c>
      <c r="E8" s="4" t="s">
        <v>59</v>
      </c>
    </row>
    <row r="9" spans="1:5">
      <c r="C9" t="s">
        <v>39</v>
      </c>
      <c r="D9" t="s">
        <v>60</v>
      </c>
      <c r="E9" s="4" t="s">
        <v>61</v>
      </c>
    </row>
  </sheetData>
  <hyperlinks>
    <hyperlink ref="E3" r:id="rId1" xr:uid="{00000000-0004-0000-0300-000000000000}"/>
    <hyperlink ref="E4" r:id="rId2" xr:uid="{00000000-0004-0000-0300-000001000000}"/>
    <hyperlink ref="E5" r:id="rId3" xr:uid="{00000000-0004-0000-0300-000002000000}"/>
    <hyperlink ref="E6" r:id="rId4" xr:uid="{00000000-0004-0000-0300-000003000000}"/>
    <hyperlink ref="E7" r:id="rId5" xr:uid="{00000000-0004-0000-0300-000004000000}"/>
    <hyperlink ref="E8" r:id="rId6" xr:uid="{00000000-0004-0000-0300-000005000000}"/>
    <hyperlink ref="E9" r:id="rId7" xr:uid="{00000000-0004-0000-0300-000006000000}"/>
  </hyperlinks>
  <pageMargins left="0.7" right="0.7" top="0.75" bottom="0.75" header="0.3" footer="0.3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1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Dashboard</vt:lpstr>
      <vt:lpstr>Inputs</vt:lpstr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Hafsat Abba Dewu</cp:lastModifiedBy>
  <dcterms:created xsi:type="dcterms:W3CDTF">2023-01-30T08:37:00Z</dcterms:created>
  <dcterms:modified xsi:type="dcterms:W3CDTF">2026-09-02T12:28:35Z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6AA583F42175459D9985D9A3E6EFB610_12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